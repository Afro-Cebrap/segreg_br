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d8d7a7efb8cd6/Trampos/Cebrap/Afro/Projetos/Territorio Negro/analysis/territorios_negros/estudos/avaliacao_dados/C. Validade externa/C2. Known-group/"/>
    </mc:Choice>
  </mc:AlternateContent>
  <xr:revisionPtr revIDLastSave="87" documentId="8_{4B746B58-273E-4BA3-9203-0EB3E7216C76}" xr6:coauthVersionLast="47" xr6:coauthVersionMax="47" xr10:uidLastSave="{914DFB8F-F030-4E1F-A71F-EE37ED9CC392}"/>
  <bookViews>
    <workbookView xWindow="-120" yWindow="-120" windowWidth="24240" windowHeight="13020" xr2:uid="{FB758A09-3C3B-4901-8572-23A69892CF1B}"/>
  </bookViews>
  <sheets>
    <sheet name="D" sheetId="1" r:id="rId1"/>
    <sheet name="H" sheetId="2" r:id="rId2"/>
    <sheet name="Exp - PP | Br" sheetId="3" r:id="rId3"/>
    <sheet name="Exp - Br | PP" sheetId="4" r:id="rId4"/>
    <sheet name="Iso | PP" sheetId="5" r:id="rId5"/>
    <sheet name="Iso | B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F12" i="6"/>
  <c r="G12" i="6" s="1"/>
  <c r="F13" i="6"/>
  <c r="G13" i="6" s="1"/>
  <c r="F14" i="6"/>
  <c r="G14" i="6" s="1"/>
  <c r="F15" i="6"/>
  <c r="G15" i="6"/>
  <c r="F11" i="6"/>
  <c r="G11" i="6" s="1"/>
  <c r="F10" i="6"/>
  <c r="G10" i="6" s="1"/>
  <c r="F8" i="6"/>
  <c r="G8" i="6" s="1"/>
  <c r="G7" i="6"/>
  <c r="F7" i="6"/>
  <c r="F6" i="6"/>
  <c r="G6" i="6" s="1"/>
  <c r="G5" i="6"/>
  <c r="F5" i="6"/>
  <c r="F4" i="6"/>
  <c r="G4" i="6" s="1"/>
  <c r="G3" i="6"/>
  <c r="G4" i="1"/>
  <c r="G5" i="1"/>
  <c r="G6" i="1"/>
  <c r="G7" i="1"/>
  <c r="G8" i="1"/>
  <c r="G9" i="1"/>
  <c r="G10" i="1"/>
  <c r="G11" i="1"/>
  <c r="G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<sst xmlns="http://schemas.openxmlformats.org/spreadsheetml/2006/main" count="138" uniqueCount="35">
  <si>
    <t>RM</t>
  </si>
  <si>
    <t>Estimativa</t>
  </si>
  <si>
    <t>Est. Alternativa 1</t>
  </si>
  <si>
    <t>Est. Alternativa 2</t>
  </si>
  <si>
    <t>Diff.</t>
  </si>
  <si>
    <t>Negros e Brancos</t>
  </si>
  <si>
    <t>São Paulo</t>
  </si>
  <si>
    <t>Salvador</t>
  </si>
  <si>
    <t>Fortaleza</t>
  </si>
  <si>
    <t>França (2022)</t>
  </si>
  <si>
    <t>Observação 1</t>
  </si>
  <si>
    <t>Referência 1</t>
  </si>
  <si>
    <t>Observação 2</t>
  </si>
  <si>
    <t>Referência 2</t>
  </si>
  <si>
    <t>Barros e Feitosa (2024)</t>
  </si>
  <si>
    <t>Índice espacializado</t>
  </si>
  <si>
    <t>Barros e Feitosa (2018)</t>
  </si>
  <si>
    <t>França (2022b)</t>
  </si>
  <si>
    <t>França (2022a)</t>
  </si>
  <si>
    <t>Negros e brancos, usando SC como referencia</t>
  </si>
  <si>
    <t>Recife</t>
  </si>
  <si>
    <t>Belo Horizonte</t>
  </si>
  <si>
    <t>Rio de Janeiro</t>
  </si>
  <si>
    <t>Campinas</t>
  </si>
  <si>
    <t>Curitiba</t>
  </si>
  <si>
    <t>Porto Alegre</t>
  </si>
  <si>
    <t>Multigrupo, índice espacializado</t>
  </si>
  <si>
    <t>Wójtowicz (2016)</t>
  </si>
  <si>
    <t>Belém</t>
  </si>
  <si>
    <t>Brasília</t>
  </si>
  <si>
    <t>Goiânia</t>
  </si>
  <si>
    <t>Baixada Santista</t>
  </si>
  <si>
    <t>Clássico, SC.</t>
  </si>
  <si>
    <t>-</t>
  </si>
  <si>
    <t>Var. rel.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</si>
</sst>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7E7F-2C6F-44EC-9EDA-D675DEA86371}">
  <dimension ref="B2:K11"/>
  <sheetViews>
    <sheetView tabSelected="1" workbookViewId="0">
      <selection activeCell="F3" sqref="F3:G11"/>
    </sheetView>
  </sheetViews>
  <sheetFormatPr defaultRowHeight="15" x14ac:dyDescent="0.25"/>
  <cols>
    <col min="2" max="2" width="13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1.28515625" bestFit="1" customWidth="1"/>
    <col min="8" max="8" width="42.5703125" bestFit="1" customWidth="1"/>
    <col min="9" max="9" width="14.140625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6</v>
      </c>
      <c r="C3" s="3">
        <v>0.31</v>
      </c>
      <c r="D3" s="2">
        <v>0.33</v>
      </c>
      <c r="E3" s="3">
        <v>0.28999999999999998</v>
      </c>
      <c r="F3" s="2">
        <f>C3-D3</f>
        <v>-2.0000000000000018E-2</v>
      </c>
      <c r="G3" s="4">
        <f>F3/D3*100</f>
        <v>-6.0606060606060659</v>
      </c>
      <c r="H3" t="s">
        <v>26</v>
      </c>
      <c r="I3" t="s">
        <v>14</v>
      </c>
      <c r="J3" t="s">
        <v>5</v>
      </c>
      <c r="K3" t="s">
        <v>9</v>
      </c>
    </row>
    <row r="4" spans="2:11" x14ac:dyDescent="0.25">
      <c r="B4" t="s">
        <v>7</v>
      </c>
      <c r="C4" s="3">
        <v>0.22</v>
      </c>
      <c r="D4" s="2">
        <v>0.32</v>
      </c>
      <c r="E4" s="3">
        <v>0.27</v>
      </c>
      <c r="F4" s="2">
        <f t="shared" ref="F4:F11" si="0">C4-D4</f>
        <v>-0.1</v>
      </c>
      <c r="G4" s="4">
        <f t="shared" ref="G4:G11" si="1">F4/D4*100</f>
        <v>-31.25</v>
      </c>
      <c r="H4" t="s">
        <v>19</v>
      </c>
      <c r="I4" t="s">
        <v>17</v>
      </c>
      <c r="J4" t="s">
        <v>5</v>
      </c>
      <c r="K4" t="s">
        <v>18</v>
      </c>
    </row>
    <row r="5" spans="2:11" x14ac:dyDescent="0.25">
      <c r="B5" t="s">
        <v>8</v>
      </c>
      <c r="C5" s="3">
        <v>0.22</v>
      </c>
      <c r="D5" s="2">
        <v>0.21</v>
      </c>
      <c r="E5" s="3">
        <v>0.14000000000000001</v>
      </c>
      <c r="F5" s="2">
        <f t="shared" si="0"/>
        <v>1.0000000000000009E-2</v>
      </c>
      <c r="G5" s="4">
        <f t="shared" si="1"/>
        <v>4.7619047619047663</v>
      </c>
      <c r="H5" t="s">
        <v>19</v>
      </c>
      <c r="I5" t="s">
        <v>17</v>
      </c>
      <c r="J5" t="s">
        <v>5</v>
      </c>
      <c r="K5" t="s">
        <v>18</v>
      </c>
    </row>
    <row r="6" spans="2:11" x14ac:dyDescent="0.25">
      <c r="B6" t="s">
        <v>20</v>
      </c>
      <c r="C6" s="3">
        <v>0.22</v>
      </c>
      <c r="D6" s="2">
        <v>0.22</v>
      </c>
      <c r="E6" s="3"/>
      <c r="F6" s="2">
        <f t="shared" si="0"/>
        <v>0</v>
      </c>
      <c r="G6" s="4">
        <f t="shared" si="1"/>
        <v>0</v>
      </c>
      <c r="H6" t="s">
        <v>19</v>
      </c>
      <c r="I6" t="s">
        <v>17</v>
      </c>
    </row>
    <row r="7" spans="2:11" x14ac:dyDescent="0.25">
      <c r="B7" t="s">
        <v>21</v>
      </c>
      <c r="C7" s="3">
        <v>0.26</v>
      </c>
      <c r="D7" s="2">
        <v>0.28999999999999998</v>
      </c>
      <c r="E7" s="3"/>
      <c r="F7" s="2">
        <f t="shared" si="0"/>
        <v>-2.9999999999999971E-2</v>
      </c>
      <c r="G7" s="4">
        <f t="shared" si="1"/>
        <v>-10.344827586206886</v>
      </c>
      <c r="H7" t="s">
        <v>19</v>
      </c>
      <c r="I7" t="s">
        <v>17</v>
      </c>
    </row>
    <row r="8" spans="2:11" x14ac:dyDescent="0.25">
      <c r="B8" t="s">
        <v>22</v>
      </c>
      <c r="C8" s="3">
        <v>0.27</v>
      </c>
      <c r="D8" s="2">
        <v>0.3</v>
      </c>
      <c r="E8" s="3"/>
      <c r="F8" s="2">
        <f t="shared" si="0"/>
        <v>-2.9999999999999971E-2</v>
      </c>
      <c r="G8" s="4">
        <f t="shared" si="1"/>
        <v>-9.9999999999999911</v>
      </c>
      <c r="H8" t="s">
        <v>19</v>
      </c>
      <c r="I8" t="s">
        <v>17</v>
      </c>
    </row>
    <row r="9" spans="2:11" x14ac:dyDescent="0.25">
      <c r="B9" t="s">
        <v>23</v>
      </c>
      <c r="C9" s="3">
        <v>0.32</v>
      </c>
      <c r="D9" s="2">
        <v>0.33</v>
      </c>
      <c r="E9" s="3"/>
      <c r="F9" s="2">
        <f t="shared" si="0"/>
        <v>-1.0000000000000009E-2</v>
      </c>
      <c r="G9" s="4">
        <f t="shared" si="1"/>
        <v>-3.0303030303030329</v>
      </c>
      <c r="H9" t="s">
        <v>19</v>
      </c>
      <c r="I9" t="s">
        <v>17</v>
      </c>
    </row>
    <row r="10" spans="2:11" x14ac:dyDescent="0.25">
      <c r="B10" t="s">
        <v>24</v>
      </c>
      <c r="C10" s="2">
        <v>0.3</v>
      </c>
      <c r="D10" s="2">
        <v>0.3</v>
      </c>
      <c r="E10" s="3"/>
      <c r="F10" s="2">
        <f t="shared" si="0"/>
        <v>0</v>
      </c>
      <c r="G10" s="4">
        <f t="shared" si="1"/>
        <v>0</v>
      </c>
      <c r="H10" t="s">
        <v>19</v>
      </c>
      <c r="I10" t="s">
        <v>17</v>
      </c>
    </row>
    <row r="11" spans="2:11" x14ac:dyDescent="0.25">
      <c r="B11" t="s">
        <v>25</v>
      </c>
      <c r="C11" s="3">
        <v>0.34</v>
      </c>
      <c r="D11" s="2">
        <v>0.34</v>
      </c>
      <c r="E11" s="3"/>
      <c r="F11" s="2">
        <f t="shared" si="0"/>
        <v>0</v>
      </c>
      <c r="G11" s="4">
        <f t="shared" si="1"/>
        <v>0</v>
      </c>
      <c r="H11" t="s">
        <v>19</v>
      </c>
      <c r="I1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56EF-C55E-49A3-8793-4AD535CC44C9}">
  <dimension ref="B2:J3"/>
  <sheetViews>
    <sheetView workbookViewId="0">
      <selection activeCell="C3" sqref="C3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 s="1">
        <v>0.1</v>
      </c>
      <c r="D3">
        <v>0.08</v>
      </c>
      <c r="G3" t="s">
        <v>15</v>
      </c>
      <c r="H3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4330-BC81-457B-A6DC-474652917297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1157-F3D2-49DE-A6E5-3607C31FA1FE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14D8-366F-4727-B62E-DBD6B63A7BF5}">
  <dimension ref="B2:J3"/>
  <sheetViews>
    <sheetView workbookViewId="0">
      <selection activeCell="D4" sqref="D4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>
        <v>0.49</v>
      </c>
      <c r="D3">
        <v>1.1599999999999999</v>
      </c>
      <c r="G3" t="s">
        <v>15</v>
      </c>
      <c r="H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E20A-9A43-46EF-9D96-67853D17F860}">
  <dimension ref="B2:K15"/>
  <sheetViews>
    <sheetView workbookViewId="0">
      <selection activeCell="G15" sqref="G15"/>
    </sheetView>
  </sheetViews>
  <sheetFormatPr defaultRowHeight="15" x14ac:dyDescent="0.25"/>
  <cols>
    <col min="2" max="2" width="15.85546875" bestFit="1" customWidth="1"/>
    <col min="3" max="3" width="10.140625" bestFit="1" customWidth="1"/>
    <col min="4" max="5" width="15.5703125" bestFit="1" customWidth="1"/>
    <col min="6" max="7" width="9.85546875" customWidth="1"/>
    <col min="8" max="8" width="19.5703125" bestFit="1" customWidth="1"/>
    <col min="9" max="9" width="21.42578125" bestFit="1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28</v>
      </c>
      <c r="C3" s="1">
        <v>0.3</v>
      </c>
      <c r="D3">
        <v>0.28999999999999998</v>
      </c>
      <c r="F3" s="2">
        <f>C3-D3</f>
        <v>1.0000000000000009E-2</v>
      </c>
      <c r="G3" s="4">
        <f>F3/D3*100</f>
        <v>3.4482758620689689</v>
      </c>
      <c r="H3" t="s">
        <v>32</v>
      </c>
      <c r="I3" t="s">
        <v>27</v>
      </c>
    </row>
    <row r="4" spans="2:11" x14ac:dyDescent="0.25">
      <c r="B4" t="s">
        <v>20</v>
      </c>
      <c r="C4" s="1">
        <v>0.43</v>
      </c>
      <c r="D4">
        <v>0.43</v>
      </c>
      <c r="F4" s="2">
        <f t="shared" ref="F4:F11" si="0">C4-D4</f>
        <v>0</v>
      </c>
      <c r="G4" s="4">
        <f t="shared" ref="G4:G11" si="1">F4/D4*100</f>
        <v>0</v>
      </c>
      <c r="H4" t="s">
        <v>32</v>
      </c>
      <c r="I4" t="s">
        <v>27</v>
      </c>
    </row>
    <row r="5" spans="2:11" x14ac:dyDescent="0.25">
      <c r="B5" t="s">
        <v>8</v>
      </c>
      <c r="C5" s="1">
        <v>0.39</v>
      </c>
      <c r="D5">
        <v>0.39</v>
      </c>
      <c r="F5" s="2">
        <f t="shared" si="0"/>
        <v>0</v>
      </c>
      <c r="G5" s="4">
        <f t="shared" si="1"/>
        <v>0</v>
      </c>
      <c r="H5" t="s">
        <v>32</v>
      </c>
      <c r="I5" t="s">
        <v>27</v>
      </c>
    </row>
    <row r="6" spans="2:11" x14ac:dyDescent="0.25">
      <c r="B6" t="s">
        <v>7</v>
      </c>
      <c r="C6" s="1">
        <v>0.28999999999999998</v>
      </c>
      <c r="D6">
        <v>0.28000000000000003</v>
      </c>
      <c r="F6" s="2">
        <f t="shared" si="0"/>
        <v>9.9999999999999534E-3</v>
      </c>
      <c r="G6" s="4">
        <f t="shared" si="1"/>
        <v>3.5714285714285547</v>
      </c>
      <c r="H6" t="s">
        <v>32</v>
      </c>
      <c r="I6" t="s">
        <v>27</v>
      </c>
    </row>
    <row r="7" spans="2:11" x14ac:dyDescent="0.25">
      <c r="B7" t="s">
        <v>21</v>
      </c>
      <c r="C7" s="1">
        <v>0.49</v>
      </c>
      <c r="D7">
        <v>0.48</v>
      </c>
      <c r="F7" s="2">
        <f t="shared" si="0"/>
        <v>1.0000000000000009E-2</v>
      </c>
      <c r="G7" s="4">
        <f t="shared" si="1"/>
        <v>2.0833333333333353</v>
      </c>
      <c r="H7" t="s">
        <v>32</v>
      </c>
      <c r="I7" t="s">
        <v>27</v>
      </c>
    </row>
    <row r="8" spans="2:11" x14ac:dyDescent="0.25">
      <c r="B8" t="s">
        <v>22</v>
      </c>
      <c r="C8" s="1">
        <v>0.54</v>
      </c>
      <c r="D8">
        <v>0.54</v>
      </c>
      <c r="F8" s="2">
        <f t="shared" si="0"/>
        <v>0</v>
      </c>
      <c r="G8" s="4">
        <f t="shared" si="1"/>
        <v>0</v>
      </c>
      <c r="H8" t="s">
        <v>32</v>
      </c>
      <c r="I8" t="s">
        <v>27</v>
      </c>
    </row>
    <row r="9" spans="2:11" x14ac:dyDescent="0.25">
      <c r="B9" t="s">
        <v>29</v>
      </c>
      <c r="C9" s="2" t="s">
        <v>33</v>
      </c>
      <c r="D9">
        <v>0.45</v>
      </c>
      <c r="F9" s="2" t="s">
        <v>33</v>
      </c>
      <c r="G9" s="4" t="s">
        <v>33</v>
      </c>
      <c r="H9" t="s">
        <v>32</v>
      </c>
      <c r="I9" t="s">
        <v>27</v>
      </c>
    </row>
    <row r="10" spans="2:11" x14ac:dyDescent="0.25">
      <c r="B10" t="s">
        <v>30</v>
      </c>
      <c r="C10" s="1">
        <v>0.49</v>
      </c>
      <c r="D10">
        <v>0.49</v>
      </c>
      <c r="F10" s="2">
        <f t="shared" si="0"/>
        <v>0</v>
      </c>
      <c r="G10" s="4">
        <f t="shared" si="1"/>
        <v>0</v>
      </c>
      <c r="H10" t="s">
        <v>32</v>
      </c>
      <c r="I10" t="s">
        <v>27</v>
      </c>
    </row>
    <row r="11" spans="2:11" x14ac:dyDescent="0.25">
      <c r="B11" t="s">
        <v>6</v>
      </c>
      <c r="C11" s="1">
        <v>0.66</v>
      </c>
      <c r="D11">
        <v>0.64</v>
      </c>
      <c r="E11">
        <v>1.05</v>
      </c>
      <c r="F11" s="2">
        <f t="shared" si="0"/>
        <v>2.0000000000000018E-2</v>
      </c>
      <c r="G11" s="4">
        <f t="shared" si="1"/>
        <v>3.1250000000000027</v>
      </c>
      <c r="H11" t="s">
        <v>32</v>
      </c>
      <c r="I11" t="s">
        <v>27</v>
      </c>
      <c r="J11" t="s">
        <v>15</v>
      </c>
      <c r="K11" t="s">
        <v>14</v>
      </c>
    </row>
    <row r="12" spans="2:11" x14ac:dyDescent="0.25">
      <c r="B12" t="s">
        <v>31</v>
      </c>
      <c r="C12" s="1">
        <v>0.64</v>
      </c>
      <c r="D12">
        <v>0.63</v>
      </c>
      <c r="F12" s="2">
        <f>C12-D12</f>
        <v>1.0000000000000009E-2</v>
      </c>
      <c r="G12" s="4">
        <f>F12/D12*100</f>
        <v>1.5873015873015885</v>
      </c>
      <c r="H12" t="s">
        <v>32</v>
      </c>
      <c r="I12" t="s">
        <v>27</v>
      </c>
    </row>
    <row r="13" spans="2:11" x14ac:dyDescent="0.25">
      <c r="B13" t="s">
        <v>23</v>
      </c>
      <c r="C13" s="1">
        <v>0.72</v>
      </c>
      <c r="D13">
        <v>0.71</v>
      </c>
      <c r="F13" s="2">
        <f t="shared" ref="F13:F15" si="2">C13-D13</f>
        <v>1.0000000000000009E-2</v>
      </c>
      <c r="G13" s="4">
        <f t="shared" ref="G13:G15" si="3">F13/D13*100</f>
        <v>1.4084507042253533</v>
      </c>
      <c r="H13" t="s">
        <v>32</v>
      </c>
      <c r="I13" t="s">
        <v>27</v>
      </c>
    </row>
    <row r="14" spans="2:11" x14ac:dyDescent="0.25">
      <c r="B14" t="s">
        <v>24</v>
      </c>
      <c r="C14" s="1">
        <v>0.78</v>
      </c>
      <c r="D14">
        <v>0.77</v>
      </c>
      <c r="F14" s="2">
        <f t="shared" si="2"/>
        <v>1.0000000000000009E-2</v>
      </c>
      <c r="G14" s="4">
        <f t="shared" si="3"/>
        <v>1.2987012987012998</v>
      </c>
      <c r="H14" t="s">
        <v>32</v>
      </c>
      <c r="I14" t="s">
        <v>27</v>
      </c>
    </row>
    <row r="15" spans="2:11" x14ac:dyDescent="0.25">
      <c r="B15" t="s">
        <v>25</v>
      </c>
      <c r="C15" s="1">
        <v>0.85</v>
      </c>
      <c r="D15">
        <v>0.84</v>
      </c>
      <c r="F15" s="2">
        <f t="shared" si="2"/>
        <v>1.0000000000000009E-2</v>
      </c>
      <c r="G15" s="4">
        <f t="shared" si="3"/>
        <v>1.1904761904761916</v>
      </c>
      <c r="H15" t="s">
        <v>32</v>
      </c>
      <c r="I15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</vt:lpstr>
      <vt:lpstr>H</vt:lpstr>
      <vt:lpstr>Exp - PP | Br</vt:lpstr>
      <vt:lpstr>Exp - Br | PP</vt:lpstr>
      <vt:lpstr>Iso | PP</vt:lpstr>
      <vt:lpstr>Iso |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Cordeiro</dc:creator>
  <cp:lastModifiedBy>Thiago Cordeiro</cp:lastModifiedBy>
  <dcterms:created xsi:type="dcterms:W3CDTF">2026-09-04T13:41:09Z</dcterms:created>
  <dcterms:modified xsi:type="dcterms:W3CDTF">2026-10-09T14:24:23Z</dcterms:modified>
</cp:coreProperties>
</file>